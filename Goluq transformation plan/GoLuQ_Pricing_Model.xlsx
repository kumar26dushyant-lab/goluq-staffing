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st Model" sheetId="2" state="visible" r:id="rId4"/>
    <sheet name="Pricing" sheetId="3" state="visible" r:id="rId5"/>
    <sheet name="Scenarios" sheetId="4" state="visible" r:id="rId6"/>
    <sheet name="Fair-Use Ca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<sst xmlns="http://schemas.openxmlformats.org/spreadsheetml/2006/main" count="114" uniqueCount="101">
  <si>
    <t xml:space="preserve">GoLuQ — Digital Employee Pricing &amp; Margin Model</t>
  </si>
  <si>
    <t xml:space="preserve">PURPOSE: Set profitable, India-attractive prices for each Digital Employee while funding the affiliate program.</t>
  </si>
  <si>
    <t xml:space="preserve">THE MODEL (every price splits three ways, as a % of PRICE — not of cost):</t>
  </si>
  <si>
    <t xml:space="preserve">   Price  =  COGS (infra + ops)  +  Affiliate commission  +  Founder margin</t>
  </si>
  <si>
    <t xml:space="preserve">   • Affiliate: 35% of price for months 1–12, then 12% lifetime (taper).</t>
  </si>
  <si>
    <t xml:space="preserve">   • Founder: whatever is left. Floor is ~15% in Year 1; it EXPANDS to ~40–55% from month 13 as the affiliate share drops.</t>
  </si>
  <si>
    <t xml:space="preserve">   • So the rule is: keep true COGS at or below ~50% of price (simple text employees) and ~30–35% (voice / premium).</t>
  </si>
  <si>
    <t xml:space="preserve">HOW TO USE:</t>
  </si>
  <si>
    <t xml:space="preserve">   1. Open "Cost Model" — these are ESTIMATES. Replace BLUE cells with your real vendor quotes (LLM, telephony minutes, number rental).</t>
  </si>
  <si>
    <t xml:space="preserve">   2. "Pricing" recomputes a suggested price from your target margin, then you set an attractive LIST price; it shows the real split.</t>
  </si>
  <si>
    <t xml:space="preserve">   3. "Scenarios" projects affiliate earnings AND your founder profit for any number of referred customers.</t>
  </si>
  <si>
    <t xml:space="preserve">COLOR KEY:  Blue = your inputs (change these)   ·   Black = formulas   ·   Green = pulled from another sheet   ·   Yellow = key assumption.</t>
  </si>
  <si>
    <t xml:space="preserve">COST ADVANTAGE BUILT IN: WhatsApp employees run on the business's OWN number via Baileys (linked-device), so there are no Meta</t>
  </si>
  <si>
    <t xml:space="preserve">per-message fees — text employees stay very cheap to run. Voice employees carry real telephony cost, so they are priced as premium.</t>
  </si>
  <si>
    <t xml:space="preserve">CAVEAT (read): COGS cells are 2026 estimates. Confirm current LLM, cloud-telephony (Exotel/Plivo) and number-rental rates with your</t>
  </si>
  <si>
    <t xml:space="preserve">vendors before publishing prices. This is a planning model, not an accounting record, and not tax advice.</t>
  </si>
  <si>
    <t xml:space="preserve">Cost Model — estimated COGS per customer (₹/month)</t>
  </si>
  <si>
    <t xml:space="preserve">Replace blue cells with real vendor quotes. Total COGS auto-sums.</t>
  </si>
  <si>
    <t xml:space="preserve">Plan</t>
  </si>
  <si>
    <t xml:space="preserve">LLM / Processing</t>
  </si>
  <si>
    <t xml:space="preserve">WhatsApp (Baileys)</t>
  </si>
  <si>
    <t xml:space="preserve">Telephony / Voice</t>
  </si>
  <si>
    <t xml:space="preserve">Number Rental</t>
  </si>
  <si>
    <t xml:space="preserve">Hosting</t>
  </si>
  <si>
    <t xml:space="preserve">Support / Ops</t>
  </si>
  <si>
    <t xml:space="preserve">Total COGS (₹/mo)</t>
  </si>
  <si>
    <t xml:space="preserve">Digital Receptionist (text/WhatsApp)</t>
  </si>
  <si>
    <t xml:space="preserve">Digital Customer Support (text/WhatsApp)</t>
  </si>
  <si>
    <t xml:space="preserve">Digital Sales (WhatsApp + light outreach)</t>
  </si>
  <si>
    <t xml:space="preserve">Digital Voice Calling — Lite (capped mins)</t>
  </si>
  <si>
    <t xml:space="preserve">Digital Voice Calling — Pro</t>
  </si>
  <si>
    <t xml:space="preserve">Complete Digital Workforce (3–5, incl. voice)</t>
  </si>
  <si>
    <t xml:space="preserve">Note: Baileys = runs on the customer's own WhatsApp number → no Meta per-message fees. Voice cost dominates premium plans.</t>
  </si>
  <si>
    <t xml:space="preserve">Estimates as of 2026 — verify with vendors.</t>
  </si>
  <si>
    <t xml:space="preserve">Pricing &amp; Margin Split</t>
  </si>
  <si>
    <t xml:space="preserve">Affiliate % is of PRICE. Founder margin is the remainder (Year-1 floor ~15%, expands lifetime as affiliate tapers).</t>
  </si>
  <si>
    <t xml:space="preserve">Affiliate rate — Year 1 (months 1–12):</t>
  </si>
  <si>
    <t xml:space="preserve">Affiliate rate — Lifetime (month 13+):</t>
  </si>
  <si>
    <t xml:space="preserve">COGS</t>
  </si>
  <si>
    <t xml:space="preserve">Target GM %</t>
  </si>
  <si>
    <t xml:space="preserve">Suggested Price</t>
  </si>
  <si>
    <t xml:space="preserve">LIST PRICE</t>
  </si>
  <si>
    <t xml:space="preserve">Actual GM %</t>
  </si>
  <si>
    <t xml:space="preserve">Affiliate Y1 (35%)</t>
  </si>
  <si>
    <t xml:space="preserve">Founder Y1 ₹</t>
  </si>
  <si>
    <t xml:space="preserve">Founder Y1 %</t>
  </si>
  <si>
    <t xml:space="preserve">Affiliate Life (12%)</t>
  </si>
  <si>
    <t xml:space="preserve">Founder Life ₹</t>
  </si>
  <si>
    <t xml:space="preserve">Founder Life %</t>
  </si>
  <si>
    <t xml:space="preserve">Annual (pay 10)</t>
  </si>
  <si>
    <t xml:space="preserve">Human Salary ≈</t>
  </si>
  <si>
    <t xml:space="preserve">Price vs Human</t>
  </si>
  <si>
    <t xml:space="preserve">Travel &amp; tours (cab/agency) businesses buy the Receptionist or Support plan (₹799–₹999) — the 2am-booking WhatsApp employee.</t>
  </si>
  <si>
    <t xml:space="preserve">"Price vs Human" shows you charge a small fraction of a human salary — the ₹200-value-for-₹100 story for the sales pitch.</t>
  </si>
  <si>
    <t xml:space="preserve">Affiliate Earnings &amp; Founder Profit — Scenario</t>
  </si>
  <si>
    <t xml:space="preserve">Change the three blue inputs to model any deal. Affiliate rates pull from the Pricing sheet.</t>
  </si>
  <si>
    <t xml:space="preserve">Plan price (₹/mo)</t>
  </si>
  <si>
    <t xml:space="preserve">Plan COGS (₹/mo)</t>
  </si>
  <si>
    <t xml:space="preserve">Customers referred (N)</t>
  </si>
  <si>
    <t xml:space="preserve">AFFILIATE EARNINGS</t>
  </si>
  <si>
    <t xml:space="preserve">Affiliate income — Year 1 (₹/month)</t>
  </si>
  <si>
    <t xml:space="preserve">Affiliate income — Year 1 total (12 mo)</t>
  </si>
  <si>
    <t xml:space="preserve">Affiliate income — Month 13+ (₹/month, lifetime)</t>
  </si>
  <si>
    <t xml:space="preserve">Affiliate income — 24-month cumulative</t>
  </si>
  <si>
    <t xml:space="preserve">FOUNDER PROFIT (after COGS + affiliate)</t>
  </si>
  <si>
    <t xml:space="preserve">Founder profit — Year 1 (₹/month)</t>
  </si>
  <si>
    <t xml:space="preserve">Founder profit — Year 1 total (12 mo)</t>
  </si>
  <si>
    <t xml:space="preserve">Founder profit — Month 13+ (₹/month, lifetime)</t>
  </si>
  <si>
    <t xml:space="preserve">Founder profit — 24-month cumulative</t>
  </si>
  <si>
    <t xml:space="preserve">QUICK REFERENCE — per single customer, by plan</t>
  </si>
  <si>
    <t xml:space="preserve">List Price</t>
  </si>
  <si>
    <t xml:space="preserve">Affiliate Y1 total</t>
  </si>
  <si>
    <t xml:space="preserve">Affiliate ₹/mo (life)</t>
  </si>
  <si>
    <t xml:space="preserve">Founder Y1 ₹/mo</t>
  </si>
  <si>
    <t xml:space="preserve">Founder ₹/mo (life)</t>
  </si>
  <si>
    <t xml:space="preserve">Fair-Use Caps — worst-case COGS ceiling per plan</t>
  </si>
  <si>
    <t xml:space="preserve">Caps bound the cost of a high-traffic customer. Columns prove the founder margin stays healthy EVEN AT FULL CAP.</t>
  </si>
  <si>
    <t xml:space="preserve">Enforced in the Digital Employee runtime (not the website). Past the cap → graceful handoff + owner alert + upgrade/overage. See spec §16.</t>
  </si>
  <si>
    <t xml:space="preserve">Metered unit</t>
  </si>
  <si>
    <t xml:space="preserve">Included cap / mo</t>
  </si>
  <si>
    <t xml:space="preserve">Cost / unit</t>
  </si>
  <si>
    <t xml:space="preserve">Variable COGS at cap</t>
  </si>
  <si>
    <t xml:space="preserve">Fixed COGS / mo</t>
  </si>
  <si>
    <t xml:space="preserve">Total COGS at cap</t>
  </si>
  <si>
    <t xml:space="preserve">List price</t>
  </si>
  <si>
    <t xml:space="preserve">GM at cap</t>
  </si>
  <si>
    <t xml:space="preserve">Affiliate Y1</t>
  </si>
  <si>
    <t xml:space="preserve">Founder Y1 at cap</t>
  </si>
  <si>
    <t xml:space="preserve">Overage / unit</t>
  </si>
  <si>
    <t xml:space="preserve">Digital Receptionist</t>
  </si>
  <si>
    <t xml:space="preserve">conversations</t>
  </si>
  <si>
    <t xml:space="preserve">Digital Customer Support</t>
  </si>
  <si>
    <t xml:space="preserve">Digital Sales</t>
  </si>
  <si>
    <t xml:space="preserve">Voice Calling — Lite</t>
  </si>
  <si>
    <t xml:space="preserve">call minutes</t>
  </si>
  <si>
    <t xml:space="preserve">Voice Calling — Pro</t>
  </si>
  <si>
    <t xml:space="preserve">Complete Workforce</t>
  </si>
  <si>
    <t xml:space="preserve">mins + chats*</t>
  </si>
  <si>
    <t xml:space="preserve">*Workforce bundle: ~2,000 voice minutes + ~3,000–4,000 chats; chat cost absorbed in fixed. Founder Y1% stays ≥20% on every plan at full cap.</t>
  </si>
  <si>
    <t xml:space="preserve">Overage policy: soft cap with ~10% buffer → owner notified → either per-unit overage billing OR one-tap upgrade to the next plan. Never a hard stop (customer always gets a reply / handoff).</t>
  </si>
  <si>
    <t xml:space="preserve">Confirm Cost/unit with real vendor quotes (LLM per conversation; telephony+voice per minute).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</si>
</sst>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0.0%"/>
    <numFmt numFmtId="167" formatCode="0"/>
    <numFmt numFmtId="168" formatCode="#,##0"/>
    <numFmt numFmtId="169" formatCode="\₹#,##0.00"/>
    <numFmt numFmtId="170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02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EAF3F4"/>
        <bgColor rgb="FFE7F6E7"/>
      </patternFill>
    </fill>
    <fill>
      <patternFill patternType="solid">
        <fgColor rgb="FFF6FAF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F6E7"/>
        <bgColor rgb="FFEA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6FAFB"/>
      <rgbColor rgb="FFE7F6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5563"/>
      <rgbColor rgb="FF339966"/>
      <rgbColor rgb="FF0B10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7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/>
    </row>
    <row r="3" customFormat="false" ht="15" hidden="false" customHeight="true" outlineLevel="0" collapsed="false">
      <c r="B3" s="4" t="s">
        <v>1</v>
      </c>
    </row>
    <row r="4" customFormat="false" ht="15" hidden="false" customHeight="true" outlineLevel="0" collapsed="false">
      <c r="B4" s="3"/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3" t="s">
        <v>3</v>
      </c>
    </row>
    <row r="7" customFormat="false" ht="15" hidden="false" customHeight="true" outlineLevel="0" collapsed="false">
      <c r="B7" s="3" t="s">
        <v>4</v>
      </c>
    </row>
    <row r="8" customFormat="false" ht="15" hidden="false" customHeight="true" outlineLevel="0" collapsed="false">
      <c r="B8" s="3" t="s">
        <v>5</v>
      </c>
    </row>
    <row r="9" customFormat="false" ht="15" hidden="false" customHeight="true" outlineLevel="0" collapsed="false">
      <c r="B9" s="3" t="s">
        <v>6</v>
      </c>
    </row>
    <row r="10" customFormat="false" ht="15" hidden="false" customHeight="true" outlineLevel="0" collapsed="false">
      <c r="B10" s="3"/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3" t="s">
        <v>8</v>
      </c>
    </row>
    <row r="13" customFormat="false" ht="15" hidden="false" customHeight="true" outlineLevel="0" collapsed="false">
      <c r="B13" s="3" t="s">
        <v>9</v>
      </c>
    </row>
    <row r="14" customFormat="false" ht="15" hidden="false" customHeight="true" outlineLevel="0" collapsed="false">
      <c r="B14" s="3" t="s">
        <v>10</v>
      </c>
    </row>
    <row r="15" customFormat="false" ht="15" hidden="false" customHeight="true" outlineLevel="0" collapsed="false">
      <c r="B15" s="3"/>
    </row>
    <row r="16" customFormat="false" ht="1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3"/>
    </row>
    <row r="18" customFormat="false" ht="15" hidden="false" customHeight="true" outlineLevel="0" collapsed="false">
      <c r="B18" s="5" t="s">
        <v>12</v>
      </c>
    </row>
    <row r="19" customFormat="false" ht="15" hidden="false" customHeight="true" outlineLevel="0" collapsed="false">
      <c r="B19" s="3" t="s">
        <v>13</v>
      </c>
    </row>
    <row r="20" customFormat="false" ht="15" hidden="false" customHeight="true" outlineLevel="0" collapsed="false">
      <c r="B20" s="3"/>
    </row>
    <row r="21" customFormat="false" ht="15" hidden="false" customHeight="true" outlineLevel="0" collapsed="false">
      <c r="B21" s="5" t="s">
        <v>14</v>
      </c>
    </row>
    <row r="22" customFormat="false" ht="15" hidden="false" customHeight="true" outlineLevel="0" collapsed="false">
      <c r="B22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4" min="3" style="1" width="17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7"/>
  </cols>
  <sheetData>
    <row r="1" customFormat="false" ht="17.25" hidden="false" customHeight="true" outlineLevel="0" collapsed="false">
      <c r="A1" s="2" t="s">
        <v>16</v>
      </c>
    </row>
    <row r="2" customFormat="false" ht="15" hidden="false" customHeight="true" outlineLevel="0" collapsed="false">
      <c r="A2" s="5" t="s">
        <v>17</v>
      </c>
    </row>
    <row r="4" customFormat="false" ht="26.25" hidden="false" customHeight="tru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</row>
    <row r="5" customFormat="false" ht="15" hidden="false" customHeight="true" outlineLevel="0" collapsed="false">
      <c r="A5" s="7" t="s">
        <v>26</v>
      </c>
      <c r="B5" s="8" t="n">
        <v>200</v>
      </c>
      <c r="C5" s="8" t="n">
        <v>0</v>
      </c>
      <c r="D5" s="8" t="n">
        <v>0</v>
      </c>
      <c r="E5" s="8" t="n">
        <v>0</v>
      </c>
      <c r="F5" s="8" t="n">
        <v>50</v>
      </c>
      <c r="G5" s="8" t="n">
        <v>50</v>
      </c>
      <c r="H5" s="9" t="n">
        <f aca="false">SUM(B5:G5)</f>
        <v>300</v>
      </c>
    </row>
    <row r="6" customFormat="false" ht="15" hidden="false" customHeight="true" outlineLevel="0" collapsed="false">
      <c r="A6" s="10" t="s">
        <v>27</v>
      </c>
      <c r="B6" s="11" t="n">
        <v>250</v>
      </c>
      <c r="C6" s="11" t="n">
        <v>0</v>
      </c>
      <c r="D6" s="11" t="n">
        <v>0</v>
      </c>
      <c r="E6" s="11" t="n">
        <v>0</v>
      </c>
      <c r="F6" s="11" t="n">
        <v>50</v>
      </c>
      <c r="G6" s="11" t="n">
        <v>50</v>
      </c>
      <c r="H6" s="9" t="n">
        <f aca="false">SUM(B6:G6)</f>
        <v>350</v>
      </c>
    </row>
    <row r="7" customFormat="false" ht="15" hidden="false" customHeight="true" outlineLevel="0" collapsed="false">
      <c r="A7" s="7" t="s">
        <v>28</v>
      </c>
      <c r="B7" s="8" t="n">
        <v>300</v>
      </c>
      <c r="C7" s="8" t="n">
        <v>0</v>
      </c>
      <c r="D7" s="8" t="n">
        <v>50</v>
      </c>
      <c r="E7" s="8" t="n">
        <v>0</v>
      </c>
      <c r="F7" s="8" t="n">
        <v>50</v>
      </c>
      <c r="G7" s="8" t="n">
        <v>50</v>
      </c>
      <c r="H7" s="9" t="n">
        <f aca="false">SUM(B7:G7)</f>
        <v>450</v>
      </c>
    </row>
    <row r="8" customFormat="false" ht="15" hidden="false" customHeight="true" outlineLevel="0" collapsed="false">
      <c r="A8" s="10" t="s">
        <v>29</v>
      </c>
      <c r="B8" s="11" t="n">
        <v>350</v>
      </c>
      <c r="C8" s="11" t="n">
        <v>0</v>
      </c>
      <c r="D8" s="11" t="n">
        <v>1100</v>
      </c>
      <c r="E8" s="11" t="n">
        <v>150</v>
      </c>
      <c r="F8" s="11" t="n">
        <v>50</v>
      </c>
      <c r="G8" s="11" t="n">
        <v>50</v>
      </c>
      <c r="H8" s="9" t="n">
        <f aca="false">SUM(B8:G8)</f>
        <v>1700</v>
      </c>
    </row>
    <row r="9" customFormat="false" ht="15" hidden="false" customHeight="true" outlineLevel="0" collapsed="false">
      <c r="A9" s="7" t="s">
        <v>30</v>
      </c>
      <c r="B9" s="8" t="n">
        <v>450</v>
      </c>
      <c r="C9" s="8" t="n">
        <v>0</v>
      </c>
      <c r="D9" s="8" t="n">
        <v>1800</v>
      </c>
      <c r="E9" s="8" t="n">
        <v>500</v>
      </c>
      <c r="F9" s="8" t="n">
        <v>100</v>
      </c>
      <c r="G9" s="8" t="n">
        <v>100</v>
      </c>
      <c r="H9" s="9" t="n">
        <f aca="false">SUM(B9:G9)</f>
        <v>2950</v>
      </c>
    </row>
    <row r="10" customFormat="false" ht="15" hidden="false" customHeight="true" outlineLevel="0" collapsed="false">
      <c r="A10" s="10" t="s">
        <v>31</v>
      </c>
      <c r="B10" s="11" t="n">
        <v>600</v>
      </c>
      <c r="C10" s="11" t="n">
        <v>0</v>
      </c>
      <c r="D10" s="11" t="n">
        <v>1800</v>
      </c>
      <c r="E10" s="11" t="n">
        <v>500</v>
      </c>
      <c r="F10" s="11" t="n">
        <v>150</v>
      </c>
      <c r="G10" s="11" t="n">
        <v>150</v>
      </c>
      <c r="H10" s="9" t="n">
        <f aca="false">SUM(B10:G10)</f>
        <v>3200</v>
      </c>
    </row>
    <row r="12" customFormat="false" ht="15" hidden="false" customHeight="true" outlineLevel="0" collapsed="false">
      <c r="A12" s="5" t="s">
        <v>32</v>
      </c>
    </row>
    <row r="13" customFormat="false" ht="15" hidden="false" customHeight="true" outlineLevel="0" collapsed="false">
      <c r="A13" s="1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12"/>
  </cols>
  <sheetData>
    <row r="1" customFormat="false" ht="17.25" hidden="false" customHeight="true" outlineLevel="0" collapsed="false">
      <c r="A1" s="2" t="s">
        <v>34</v>
      </c>
    </row>
    <row r="2" customFormat="false" ht="15" hidden="false" customHeight="true" outlineLevel="0" collapsed="false">
      <c r="A2" s="5" t="s">
        <v>35</v>
      </c>
    </row>
    <row r="3" customFormat="false" ht="15" hidden="false" customHeight="true" outlineLevel="0" collapsed="false">
      <c r="A3" s="4" t="s">
        <v>36</v>
      </c>
      <c r="D3" s="13" t="n">
        <v>0.35</v>
      </c>
    </row>
    <row r="4" customFormat="false" ht="15" hidden="false" customHeight="true" outlineLevel="0" collapsed="false">
      <c r="A4" s="4" t="s">
        <v>37</v>
      </c>
      <c r="D4" s="13" t="n">
        <v>0.12</v>
      </c>
    </row>
    <row r="6" customFormat="false" ht="26.25" hidden="false" customHeight="true" outlineLevel="0" collapsed="false">
      <c r="A6" s="6" t="s">
        <v>18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6" t="s">
        <v>45</v>
      </c>
      <c r="J6" s="6" t="s">
        <v>46</v>
      </c>
      <c r="K6" s="6" t="s">
        <v>47</v>
      </c>
      <c r="L6" s="6" t="s">
        <v>48</v>
      </c>
      <c r="M6" s="6" t="s">
        <v>49</v>
      </c>
      <c r="N6" s="6" t="s">
        <v>50</v>
      </c>
      <c r="O6" s="6" t="s">
        <v>51</v>
      </c>
    </row>
    <row r="7" customFormat="false" ht="15" hidden="false" customHeight="true" outlineLevel="0" collapsed="false">
      <c r="A7" s="7" t="s">
        <v>26</v>
      </c>
      <c r="B7" s="14" t="n">
        <f aca="false">'Cost Model'!H5</f>
        <v>300</v>
      </c>
      <c r="C7" s="15" t="n">
        <v>0.6</v>
      </c>
      <c r="D7" s="16" t="n">
        <f aca="false">B7/(1-C7)</f>
        <v>750</v>
      </c>
      <c r="E7" s="17" t="n">
        <v>799</v>
      </c>
      <c r="F7" s="18" t="n">
        <f aca="false">(E7-B7)/E7</f>
        <v>0.624530663329161</v>
      </c>
      <c r="G7" s="16" t="n">
        <f aca="false">E7*$D$3</f>
        <v>279.65</v>
      </c>
      <c r="H7" s="16" t="n">
        <f aca="false">E7-B7-G7</f>
        <v>219.35</v>
      </c>
      <c r="I7" s="18" t="n">
        <f aca="false">H7/E7</f>
        <v>0.274530663329162</v>
      </c>
      <c r="J7" s="16" t="n">
        <f aca="false">E7*$D$4</f>
        <v>95.88</v>
      </c>
      <c r="K7" s="16" t="n">
        <f aca="false">E7-B7-J7</f>
        <v>403.12</v>
      </c>
      <c r="L7" s="18" t="n">
        <f aca="false">K7/E7</f>
        <v>0.504530663329161</v>
      </c>
      <c r="M7" s="16" t="n">
        <f aca="false">E7*10</f>
        <v>7990</v>
      </c>
      <c r="N7" s="8" t="n">
        <v>12000</v>
      </c>
      <c r="O7" s="18" t="n">
        <f aca="false">E7/N7</f>
        <v>0.0665833333333333</v>
      </c>
    </row>
    <row r="8" customFormat="false" ht="15" hidden="false" customHeight="true" outlineLevel="0" collapsed="false">
      <c r="A8" s="10" t="s">
        <v>27</v>
      </c>
      <c r="B8" s="19" t="n">
        <f aca="false">'Cost Model'!H6</f>
        <v>350</v>
      </c>
      <c r="C8" s="20" t="n">
        <v>0.62</v>
      </c>
      <c r="D8" s="21" t="n">
        <f aca="false">B8/(1-C8)</f>
        <v>921.052631578947</v>
      </c>
      <c r="E8" s="17" t="n">
        <v>999</v>
      </c>
      <c r="F8" s="22" t="n">
        <f aca="false">(E8-B8)/E8</f>
        <v>0.64964964964965</v>
      </c>
      <c r="G8" s="21" t="n">
        <f aca="false">E8*$D$3</f>
        <v>349.65</v>
      </c>
      <c r="H8" s="21" t="n">
        <f aca="false">E8-B8-G8</f>
        <v>299.35</v>
      </c>
      <c r="I8" s="22" t="n">
        <f aca="false">H8/E8</f>
        <v>0.29964964964965</v>
      </c>
      <c r="J8" s="21" t="n">
        <f aca="false">E8*$D$4</f>
        <v>119.88</v>
      </c>
      <c r="K8" s="21" t="n">
        <f aca="false">E8-B8-J8</f>
        <v>529.12</v>
      </c>
      <c r="L8" s="22" t="n">
        <f aca="false">K8/E8</f>
        <v>0.52964964964965</v>
      </c>
      <c r="M8" s="21" t="n">
        <f aca="false">E8*10</f>
        <v>9990</v>
      </c>
      <c r="N8" s="11" t="n">
        <v>15000</v>
      </c>
      <c r="O8" s="22" t="n">
        <f aca="false">E8/N8</f>
        <v>0.0666</v>
      </c>
    </row>
    <row r="9" customFormat="false" ht="15" hidden="false" customHeight="true" outlineLevel="0" collapsed="false">
      <c r="A9" s="7" t="s">
        <v>28</v>
      </c>
      <c r="B9" s="14" t="n">
        <f aca="false">'Cost Model'!H7</f>
        <v>450</v>
      </c>
      <c r="C9" s="15" t="n">
        <v>0.65</v>
      </c>
      <c r="D9" s="16" t="n">
        <f aca="false">B9/(1-C9)</f>
        <v>1285.71428571429</v>
      </c>
      <c r="E9" s="17" t="n">
        <v>1499</v>
      </c>
      <c r="F9" s="18" t="n">
        <f aca="false">(E9-B9)/E9</f>
        <v>0.699799866577719</v>
      </c>
      <c r="G9" s="16" t="n">
        <f aca="false">E9*$D$3</f>
        <v>524.65</v>
      </c>
      <c r="H9" s="16" t="n">
        <f aca="false">E9-B9-G9</f>
        <v>524.35</v>
      </c>
      <c r="I9" s="18" t="n">
        <f aca="false">H9/E9</f>
        <v>0.349799866577719</v>
      </c>
      <c r="J9" s="16" t="n">
        <f aca="false">E9*$D$4</f>
        <v>179.88</v>
      </c>
      <c r="K9" s="16" t="n">
        <f aca="false">E9-B9-J9</f>
        <v>869.12</v>
      </c>
      <c r="L9" s="18" t="n">
        <f aca="false">K9/E9</f>
        <v>0.579799866577719</v>
      </c>
      <c r="M9" s="16" t="n">
        <f aca="false">E9*10</f>
        <v>14990</v>
      </c>
      <c r="N9" s="8" t="n">
        <v>18000</v>
      </c>
      <c r="O9" s="18" t="n">
        <f aca="false">E9/N9</f>
        <v>0.0832777777777778</v>
      </c>
    </row>
    <row r="10" customFormat="false" ht="15" hidden="false" customHeight="true" outlineLevel="0" collapsed="false">
      <c r="A10" s="10" t="s">
        <v>29</v>
      </c>
      <c r="B10" s="19" t="n">
        <f aca="false">'Cost Model'!H8</f>
        <v>1700</v>
      </c>
      <c r="C10" s="20" t="n">
        <v>0.68</v>
      </c>
      <c r="D10" s="21" t="n">
        <f aca="false">B10/(1-C10)</f>
        <v>5312.5</v>
      </c>
      <c r="E10" s="17" t="n">
        <v>4999</v>
      </c>
      <c r="F10" s="22" t="n">
        <f aca="false">(E10-B10)/E10</f>
        <v>0.65993198639728</v>
      </c>
      <c r="G10" s="21" t="n">
        <f aca="false">E10*$D$3</f>
        <v>1749.65</v>
      </c>
      <c r="H10" s="21" t="n">
        <f aca="false">E10-B10-G10</f>
        <v>1549.35</v>
      </c>
      <c r="I10" s="22" t="n">
        <f aca="false">H10/E10</f>
        <v>0.30993198639728</v>
      </c>
      <c r="J10" s="21" t="n">
        <f aca="false">E10*$D$4</f>
        <v>599.88</v>
      </c>
      <c r="K10" s="21" t="n">
        <f aca="false">E10-B10-J10</f>
        <v>2699.12</v>
      </c>
      <c r="L10" s="22" t="n">
        <f aca="false">K10/E10</f>
        <v>0.53993198639728</v>
      </c>
      <c r="M10" s="21" t="n">
        <f aca="false">E10*10</f>
        <v>49990</v>
      </c>
      <c r="N10" s="11" t="n">
        <v>15000</v>
      </c>
      <c r="O10" s="22" t="n">
        <f aca="false">E10/N10</f>
        <v>0.333266666666667</v>
      </c>
    </row>
    <row r="11" customFormat="false" ht="15" hidden="false" customHeight="true" outlineLevel="0" collapsed="false">
      <c r="A11" s="7" t="s">
        <v>30</v>
      </c>
      <c r="B11" s="14" t="n">
        <f aca="false">'Cost Model'!H9</f>
        <v>2950</v>
      </c>
      <c r="C11" s="15" t="n">
        <v>0.59</v>
      </c>
      <c r="D11" s="16" t="n">
        <f aca="false">B11/(1-C11)</f>
        <v>7195.12195121951</v>
      </c>
      <c r="E11" s="17" t="n">
        <v>6999</v>
      </c>
      <c r="F11" s="18" t="n">
        <f aca="false">(E11-B11)/E11</f>
        <v>0.578511215887984</v>
      </c>
      <c r="G11" s="16" t="n">
        <f aca="false">E11*$D$3</f>
        <v>2449.65</v>
      </c>
      <c r="H11" s="16" t="n">
        <f aca="false">E11-B11-G11</f>
        <v>1599.35</v>
      </c>
      <c r="I11" s="18" t="n">
        <f aca="false">H11/E11</f>
        <v>0.228511215887984</v>
      </c>
      <c r="J11" s="16" t="n">
        <f aca="false">E11*$D$4</f>
        <v>839.88</v>
      </c>
      <c r="K11" s="16" t="n">
        <f aca="false">E11-B11-J11</f>
        <v>3209.12</v>
      </c>
      <c r="L11" s="18" t="n">
        <f aca="false">K11/E11</f>
        <v>0.458511215887984</v>
      </c>
      <c r="M11" s="16" t="n">
        <f aca="false">E11*10</f>
        <v>69990</v>
      </c>
      <c r="N11" s="8" t="n">
        <v>15000</v>
      </c>
      <c r="O11" s="18" t="n">
        <f aca="false">E11/N11</f>
        <v>0.4666</v>
      </c>
    </row>
    <row r="12" customFormat="false" ht="15" hidden="false" customHeight="true" outlineLevel="0" collapsed="false">
      <c r="A12" s="10" t="s">
        <v>31</v>
      </c>
      <c r="B12" s="19" t="n">
        <f aca="false">'Cost Model'!H10</f>
        <v>3200</v>
      </c>
      <c r="C12" s="20" t="n">
        <v>0.65</v>
      </c>
      <c r="D12" s="21" t="n">
        <f aca="false">B12/(1-C12)</f>
        <v>9142.85714285714</v>
      </c>
      <c r="E12" s="17" t="n">
        <v>9999</v>
      </c>
      <c r="F12" s="22" t="n">
        <f aca="false">(E12-B12)/E12</f>
        <v>0.67996799679968</v>
      </c>
      <c r="G12" s="21" t="n">
        <f aca="false">E12*$D$3</f>
        <v>3499.65</v>
      </c>
      <c r="H12" s="21" t="n">
        <f aca="false">E12-B12-G12</f>
        <v>3299.35</v>
      </c>
      <c r="I12" s="22" t="n">
        <f aca="false">H12/E12</f>
        <v>0.32996799679968</v>
      </c>
      <c r="J12" s="21" t="n">
        <f aca="false">E12*$D$4</f>
        <v>1199.88</v>
      </c>
      <c r="K12" s="21" t="n">
        <f aca="false">E12-B12-J12</f>
        <v>5599.12</v>
      </c>
      <c r="L12" s="22" t="n">
        <f aca="false">K12/E12</f>
        <v>0.55996799679968</v>
      </c>
      <c r="M12" s="21" t="n">
        <f aca="false">E12*10</f>
        <v>99990</v>
      </c>
      <c r="N12" s="11" t="n">
        <v>50000</v>
      </c>
      <c r="O12" s="22" t="n">
        <f aca="false">E12/N12</f>
        <v>0.19998</v>
      </c>
    </row>
    <row r="14" customFormat="false" ht="15" hidden="false" customHeight="true" outlineLevel="0" collapsed="false">
      <c r="A14" s="5" t="s">
        <v>52</v>
      </c>
    </row>
    <row r="15" customFormat="false" ht="15" hidden="false" customHeight="true" outlineLevel="0" collapsed="false">
      <c r="A15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5" t="s">
        <v>55</v>
      </c>
    </row>
    <row r="4" customFormat="false" ht="15" hidden="false" customHeight="true" outlineLevel="0" collapsed="false">
      <c r="A4" s="4" t="s">
        <v>56</v>
      </c>
      <c r="B4" s="17" t="n">
        <v>1499</v>
      </c>
    </row>
    <row r="5" customFormat="false" ht="15" hidden="false" customHeight="true" outlineLevel="0" collapsed="false">
      <c r="A5" s="4" t="s">
        <v>57</v>
      </c>
      <c r="B5" s="17" t="n">
        <v>450</v>
      </c>
    </row>
    <row r="6" customFormat="false" ht="15" hidden="false" customHeight="true" outlineLevel="0" collapsed="false">
      <c r="A6" s="4" t="s">
        <v>58</v>
      </c>
      <c r="B6" s="23" t="n">
        <v>10</v>
      </c>
    </row>
    <row r="8" customFormat="false" ht="15" hidden="false" customHeight="true" outlineLevel="0" collapsed="false">
      <c r="A8" s="24" t="s">
        <v>59</v>
      </c>
    </row>
    <row r="9" customFormat="false" ht="15" hidden="false" customHeight="true" outlineLevel="0" collapsed="false">
      <c r="A9" s="3" t="s">
        <v>60</v>
      </c>
      <c r="B9" s="25" t="n">
        <f aca="false">B4*Pricing!$D$3*B6</f>
        <v>5246.5</v>
      </c>
    </row>
    <row r="10" customFormat="false" ht="15" hidden="false" customHeight="true" outlineLevel="0" collapsed="false">
      <c r="A10" s="3" t="s">
        <v>61</v>
      </c>
      <c r="B10" s="25" t="n">
        <f aca="false">B4*Pricing!$D$3*B6*12</f>
        <v>62958</v>
      </c>
    </row>
    <row r="11" customFormat="false" ht="15" hidden="false" customHeight="true" outlineLevel="0" collapsed="false">
      <c r="A11" s="3" t="s">
        <v>62</v>
      </c>
      <c r="B11" s="25" t="n">
        <f aca="false">B4*Pricing!$D$4*B6</f>
        <v>1798.8</v>
      </c>
    </row>
    <row r="12" customFormat="false" ht="15" hidden="false" customHeight="true" outlineLevel="0" collapsed="false">
      <c r="A12" s="3" t="s">
        <v>63</v>
      </c>
      <c r="B12" s="25" t="n">
        <f aca="false">B4*Pricing!$D$3*B6*12 + B4*Pricing!$D$4*B6*12</f>
        <v>84543.6</v>
      </c>
    </row>
    <row r="14" customFormat="false" ht="15" hidden="false" customHeight="true" outlineLevel="0" collapsed="false">
      <c r="A14" s="26" t="s">
        <v>64</v>
      </c>
    </row>
    <row r="15" customFormat="false" ht="15" hidden="false" customHeight="true" outlineLevel="0" collapsed="false">
      <c r="A15" s="3" t="s">
        <v>65</v>
      </c>
      <c r="B15" s="27" t="n">
        <f aca="false">(B4-B5-B4*Pricing!$D$3)*B6</f>
        <v>5243.5</v>
      </c>
    </row>
    <row r="16" customFormat="false" ht="15" hidden="false" customHeight="true" outlineLevel="0" collapsed="false">
      <c r="A16" s="3" t="s">
        <v>66</v>
      </c>
      <c r="B16" s="27" t="n">
        <f aca="false">(B4-B5-B4*Pricing!$D$3)*B6*12</f>
        <v>62922</v>
      </c>
    </row>
    <row r="17" customFormat="false" ht="15" hidden="false" customHeight="true" outlineLevel="0" collapsed="false">
      <c r="A17" s="3" t="s">
        <v>67</v>
      </c>
      <c r="B17" s="27" t="n">
        <f aca="false">(B4-B5-B4*Pricing!$D$4)*B6</f>
        <v>8691.2</v>
      </c>
    </row>
    <row r="18" customFormat="false" ht="15" hidden="false" customHeight="true" outlineLevel="0" collapsed="false">
      <c r="A18" s="3" t="s">
        <v>68</v>
      </c>
      <c r="B18" s="27" t="n">
        <f aca="false">(B4-B5-B4*Pricing!$D$3)*B6*12 + (B4-B5-B4*Pricing!$D$4)*B6*12</f>
        <v>167216.4</v>
      </c>
    </row>
    <row r="21" customFormat="false" ht="15" hidden="false" customHeight="true" outlineLevel="0" collapsed="false">
      <c r="A21" s="4" t="s">
        <v>69</v>
      </c>
    </row>
    <row r="22" customFormat="false" ht="26.25" hidden="false" customHeight="true" outlineLevel="0" collapsed="false">
      <c r="A22" s="28" t="s">
        <v>18</v>
      </c>
      <c r="B22" s="28" t="s">
        <v>70</v>
      </c>
      <c r="C22" s="28" t="s">
        <v>71</v>
      </c>
      <c r="D22" s="28" t="s">
        <v>72</v>
      </c>
      <c r="E22" s="28" t="s">
        <v>73</v>
      </c>
      <c r="F22" s="28" t="s">
        <v>74</v>
      </c>
    </row>
    <row r="23" customFormat="false" ht="15" hidden="false" customHeight="true" outlineLevel="0" collapsed="false">
      <c r="A23" s="29" t="str">
        <f aca="false">Pricing!A7</f>
        <v>Digital Receptionist (text/WhatsApp)</v>
      </c>
      <c r="B23" s="14" t="n">
        <f aca="false">Pricing!E7</f>
        <v>799</v>
      </c>
      <c r="C23" s="16" t="n">
        <f aca="false">Pricing!E7*Pricing!$D$3*12</f>
        <v>3355.8</v>
      </c>
      <c r="D23" s="14" t="n">
        <f aca="false">Pricing!J7</f>
        <v>95.88</v>
      </c>
      <c r="E23" s="14" t="n">
        <f aca="false">Pricing!H7</f>
        <v>219.35</v>
      </c>
      <c r="F23" s="14" t="n">
        <f aca="false">Pricing!K7</f>
        <v>403.12</v>
      </c>
    </row>
    <row r="24" customFormat="false" ht="15" hidden="false" customHeight="true" outlineLevel="0" collapsed="false">
      <c r="A24" s="29" t="str">
        <f aca="false">Pricing!A8</f>
        <v>Digital Customer Support (text/WhatsApp)</v>
      </c>
      <c r="B24" s="14" t="n">
        <f aca="false">Pricing!E8</f>
        <v>999</v>
      </c>
      <c r="C24" s="16" t="n">
        <f aca="false">Pricing!E8*Pricing!$D$3*12</f>
        <v>4195.8</v>
      </c>
      <c r="D24" s="14" t="n">
        <f aca="false">Pricing!J8</f>
        <v>119.88</v>
      </c>
      <c r="E24" s="14" t="n">
        <f aca="false">Pricing!H8</f>
        <v>299.35</v>
      </c>
      <c r="F24" s="14" t="n">
        <f aca="false">Pricing!K8</f>
        <v>529.12</v>
      </c>
    </row>
    <row r="25" customFormat="false" ht="15" hidden="false" customHeight="true" outlineLevel="0" collapsed="false">
      <c r="A25" s="29" t="str">
        <f aca="false">Pricing!A9</f>
        <v>Digital Sales (WhatsApp + light outreach)</v>
      </c>
      <c r="B25" s="14" t="n">
        <f aca="false">Pricing!E9</f>
        <v>1499</v>
      </c>
      <c r="C25" s="16" t="n">
        <f aca="false">Pricing!E9*Pricing!$D$3*12</f>
        <v>6295.8</v>
      </c>
      <c r="D25" s="14" t="n">
        <f aca="false">Pricing!J9</f>
        <v>179.88</v>
      </c>
      <c r="E25" s="14" t="n">
        <f aca="false">Pricing!H9</f>
        <v>524.35</v>
      </c>
      <c r="F25" s="14" t="n">
        <f aca="false">Pricing!K9</f>
        <v>869.12</v>
      </c>
    </row>
    <row r="26" customFormat="false" ht="15" hidden="false" customHeight="true" outlineLevel="0" collapsed="false">
      <c r="A26" s="29" t="str">
        <f aca="false">Pricing!A10</f>
        <v>Digital Voice Calling — Lite (capped mins)</v>
      </c>
      <c r="B26" s="14" t="n">
        <f aca="false">Pricing!E10</f>
        <v>4999</v>
      </c>
      <c r="C26" s="16" t="n">
        <f aca="false">Pricing!E10*Pricing!$D$3*12</f>
        <v>20995.8</v>
      </c>
      <c r="D26" s="14" t="n">
        <f aca="false">Pricing!J10</f>
        <v>599.88</v>
      </c>
      <c r="E26" s="14" t="n">
        <f aca="false">Pricing!H10</f>
        <v>1549.35</v>
      </c>
      <c r="F26" s="14" t="n">
        <f aca="false">Pricing!K10</f>
        <v>2699.12</v>
      </c>
    </row>
    <row r="27" customFormat="false" ht="15" hidden="false" customHeight="true" outlineLevel="0" collapsed="false">
      <c r="A27" s="29" t="str">
        <f aca="false">Pricing!A11</f>
        <v>Digital Voice Calling — Pro</v>
      </c>
      <c r="B27" s="14" t="n">
        <f aca="false">Pricing!E11</f>
        <v>6999</v>
      </c>
      <c r="C27" s="16" t="n">
        <f aca="false">Pricing!E11*Pricing!$D$3*12</f>
        <v>29395.8</v>
      </c>
      <c r="D27" s="14" t="n">
        <f aca="false">Pricing!J11</f>
        <v>839.88</v>
      </c>
      <c r="E27" s="14" t="n">
        <f aca="false">Pricing!H11</f>
        <v>1599.35</v>
      </c>
      <c r="F27" s="14" t="n">
        <f aca="false">Pricing!K11</f>
        <v>3209.12</v>
      </c>
    </row>
    <row r="28" customFormat="false" ht="15" hidden="false" customHeight="true" outlineLevel="0" collapsed="false">
      <c r="A28" s="29" t="str">
        <f aca="false">Pricing!A12</f>
        <v>Complete Digital Workforce (3–5, incl. voice)</v>
      </c>
      <c r="B28" s="14" t="n">
        <f aca="false">Pricing!E12</f>
        <v>9999</v>
      </c>
      <c r="C28" s="16" t="n">
        <f aca="false">Pricing!E12*Pricing!$D$3*12</f>
        <v>41995.8</v>
      </c>
      <c r="D28" s="14" t="n">
        <f aca="false">Pricing!J12</f>
        <v>1199.88</v>
      </c>
      <c r="E28" s="14" t="n">
        <f aca="false">Pricing!H12</f>
        <v>3299.35</v>
      </c>
      <c r="F28" s="14" t="n">
        <f aca="false">Pricing!K12</f>
        <v>5599.12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3" min="12" style="0" width="12"/>
  </cols>
  <sheetData>
    <row r="1" customFormat="false" ht="17.35" hidden="false" customHeight="false" outlineLevel="0" collapsed="false">
      <c r="A1" s="30" t="s">
        <v>75</v>
      </c>
    </row>
    <row r="2" customFormat="false" ht="15" hidden="false" customHeight="false" outlineLevel="0" collapsed="false">
      <c r="A2" s="31" t="s">
        <v>76</v>
      </c>
    </row>
    <row r="3" customFormat="false" ht="15" hidden="false" customHeight="false" outlineLevel="0" collapsed="false">
      <c r="A3" s="31" t="s">
        <v>77</v>
      </c>
    </row>
    <row r="5" customFormat="false" ht="26.85" hidden="false" customHeight="false" outlineLevel="0" collapsed="false">
      <c r="A5" s="6" t="s">
        <v>18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82</v>
      </c>
      <c r="G5" s="6" t="s">
        <v>83</v>
      </c>
      <c r="H5" s="6" t="s">
        <v>84</v>
      </c>
      <c r="I5" s="6" t="s">
        <v>85</v>
      </c>
      <c r="J5" s="6" t="s">
        <v>86</v>
      </c>
      <c r="K5" s="6" t="s">
        <v>87</v>
      </c>
      <c r="L5" s="6" t="s">
        <v>45</v>
      </c>
      <c r="M5" s="6" t="s">
        <v>88</v>
      </c>
    </row>
    <row r="6" customFormat="false" ht="15" hidden="false" customHeight="false" outlineLevel="0" collapsed="false">
      <c r="A6" s="32" t="s">
        <v>89</v>
      </c>
      <c r="B6" s="33" t="s">
        <v>90</v>
      </c>
      <c r="C6" s="34" t="n">
        <v>1500</v>
      </c>
      <c r="D6" s="35" t="n">
        <v>0.15</v>
      </c>
      <c r="E6" s="36" t="n">
        <f aca="false">C6*D6</f>
        <v>225</v>
      </c>
      <c r="F6" s="37" t="n">
        <v>100</v>
      </c>
      <c r="G6" s="38" t="n">
        <f aca="false">E6+F6</f>
        <v>325</v>
      </c>
      <c r="H6" s="39" t="n">
        <f aca="false">Pricing!E7</f>
        <v>799</v>
      </c>
      <c r="I6" s="40" t="n">
        <f aca="false">(H6-G6)/H6</f>
        <v>0.593241551939925</v>
      </c>
      <c r="J6" s="36" t="n">
        <f aca="false">H6*Pricing!$D$3</f>
        <v>279.65</v>
      </c>
      <c r="K6" s="41" t="n">
        <f aca="false">H6-G6-J6</f>
        <v>194.35</v>
      </c>
      <c r="L6" s="42" t="n">
        <f aca="false">K6/H6</f>
        <v>0.243241551939925</v>
      </c>
      <c r="M6" s="35" t="n">
        <v>0.5</v>
      </c>
    </row>
    <row r="7" customFormat="false" ht="15" hidden="false" customHeight="false" outlineLevel="0" collapsed="false">
      <c r="A7" s="32" t="s">
        <v>91</v>
      </c>
      <c r="B7" s="33" t="s">
        <v>90</v>
      </c>
      <c r="C7" s="34" t="n">
        <v>2000</v>
      </c>
      <c r="D7" s="35" t="n">
        <v>0.15</v>
      </c>
      <c r="E7" s="36" t="n">
        <f aca="false">C7*D7</f>
        <v>300</v>
      </c>
      <c r="F7" s="37" t="n">
        <v>100</v>
      </c>
      <c r="G7" s="38" t="n">
        <f aca="false">E7+F7</f>
        <v>400</v>
      </c>
      <c r="H7" s="39" t="n">
        <f aca="false">Pricing!E8</f>
        <v>999</v>
      </c>
      <c r="I7" s="40" t="n">
        <f aca="false">(H7-G7)/H7</f>
        <v>0.5995995995996</v>
      </c>
      <c r="J7" s="36" t="n">
        <f aca="false">H7*Pricing!$D$3</f>
        <v>349.65</v>
      </c>
      <c r="K7" s="41" t="n">
        <f aca="false">H7-G7-J7</f>
        <v>249.35</v>
      </c>
      <c r="L7" s="42" t="n">
        <f aca="false">K7/H7</f>
        <v>0.2495995995996</v>
      </c>
      <c r="M7" s="35" t="n">
        <v>0.5</v>
      </c>
    </row>
    <row r="8" customFormat="false" ht="15" hidden="false" customHeight="false" outlineLevel="0" collapsed="false">
      <c r="A8" s="32" t="s">
        <v>92</v>
      </c>
      <c r="B8" s="33" t="s">
        <v>90</v>
      </c>
      <c r="C8" s="34" t="n">
        <v>3000</v>
      </c>
      <c r="D8" s="35" t="n">
        <v>0.15</v>
      </c>
      <c r="E8" s="36" t="n">
        <f aca="false">C8*D8</f>
        <v>450</v>
      </c>
      <c r="F8" s="37" t="n">
        <v>200</v>
      </c>
      <c r="G8" s="38" t="n">
        <f aca="false">E8+F8</f>
        <v>650</v>
      </c>
      <c r="H8" s="39" t="n">
        <f aca="false">Pricing!E9</f>
        <v>1499</v>
      </c>
      <c r="I8" s="40" t="n">
        <f aca="false">(H8-G8)/H8</f>
        <v>0.566377585056704</v>
      </c>
      <c r="J8" s="36" t="n">
        <f aca="false">H8*Pricing!$D$3</f>
        <v>524.65</v>
      </c>
      <c r="K8" s="41" t="n">
        <f aca="false">H8-G8-J8</f>
        <v>324.35</v>
      </c>
      <c r="L8" s="42" t="n">
        <f aca="false">K8/H8</f>
        <v>0.216377585056704</v>
      </c>
      <c r="M8" s="35" t="n">
        <v>0.5</v>
      </c>
    </row>
    <row r="9" customFormat="false" ht="15" hidden="false" customHeight="false" outlineLevel="0" collapsed="false">
      <c r="A9" s="32" t="s">
        <v>93</v>
      </c>
      <c r="B9" s="33" t="s">
        <v>94</v>
      </c>
      <c r="C9" s="34" t="n">
        <v>1200</v>
      </c>
      <c r="D9" s="35" t="n">
        <v>1</v>
      </c>
      <c r="E9" s="36" t="n">
        <f aca="false">C9*D9</f>
        <v>1200</v>
      </c>
      <c r="F9" s="37" t="n">
        <v>650</v>
      </c>
      <c r="G9" s="38" t="n">
        <f aca="false">E9+F9</f>
        <v>1850</v>
      </c>
      <c r="H9" s="39" t="n">
        <f aca="false">Pricing!E10</f>
        <v>4999</v>
      </c>
      <c r="I9" s="40" t="n">
        <f aca="false">(H9-G9)/H9</f>
        <v>0.62992598519704</v>
      </c>
      <c r="J9" s="36" t="n">
        <f aca="false">H9*Pricing!$D$3</f>
        <v>1749.65</v>
      </c>
      <c r="K9" s="41" t="n">
        <f aca="false">H9-G9-J9</f>
        <v>1399.35</v>
      </c>
      <c r="L9" s="42" t="n">
        <f aca="false">K9/H9</f>
        <v>0.279925985197039</v>
      </c>
      <c r="M9" s="35" t="n">
        <v>2.5</v>
      </c>
    </row>
    <row r="10" customFormat="false" ht="15" hidden="false" customHeight="false" outlineLevel="0" collapsed="false">
      <c r="A10" s="32" t="s">
        <v>95</v>
      </c>
      <c r="B10" s="33" t="s">
        <v>94</v>
      </c>
      <c r="C10" s="34" t="n">
        <v>2500</v>
      </c>
      <c r="D10" s="35" t="n">
        <v>1</v>
      </c>
      <c r="E10" s="36" t="n">
        <f aca="false">C10*D10</f>
        <v>2500</v>
      </c>
      <c r="F10" s="37" t="n">
        <v>650</v>
      </c>
      <c r="G10" s="38" t="n">
        <f aca="false">E10+F10</f>
        <v>3150</v>
      </c>
      <c r="H10" s="39" t="n">
        <f aca="false">Pricing!E11</f>
        <v>6999</v>
      </c>
      <c r="I10" s="40" t="n">
        <f aca="false">(H10-G10)/H10</f>
        <v>0.549935705100729</v>
      </c>
      <c r="J10" s="36" t="n">
        <f aca="false">H10*Pricing!$D$3</f>
        <v>2449.65</v>
      </c>
      <c r="K10" s="41" t="n">
        <f aca="false">H10-G10-J10</f>
        <v>1399.35</v>
      </c>
      <c r="L10" s="42" t="n">
        <f aca="false">K10/H10</f>
        <v>0.199935705100729</v>
      </c>
      <c r="M10" s="35" t="n">
        <v>2.5</v>
      </c>
    </row>
    <row r="11" customFormat="false" ht="15" hidden="false" customHeight="false" outlineLevel="0" collapsed="false">
      <c r="A11" s="32" t="s">
        <v>96</v>
      </c>
      <c r="B11" s="33" t="s">
        <v>97</v>
      </c>
      <c r="C11" s="34" t="n">
        <v>2000</v>
      </c>
      <c r="D11" s="35" t="n">
        <v>1</v>
      </c>
      <c r="E11" s="36" t="n">
        <f aca="false">C11*D11</f>
        <v>2000</v>
      </c>
      <c r="F11" s="37" t="n">
        <v>900</v>
      </c>
      <c r="G11" s="38" t="n">
        <f aca="false">E11+F11</f>
        <v>2900</v>
      </c>
      <c r="H11" s="39" t="n">
        <f aca="false">Pricing!E12</f>
        <v>9999</v>
      </c>
      <c r="I11" s="40" t="n">
        <f aca="false">(H11-G11)/H11</f>
        <v>0.70997099709971</v>
      </c>
      <c r="J11" s="36" t="n">
        <f aca="false">H11*Pricing!$D$3</f>
        <v>3499.65</v>
      </c>
      <c r="K11" s="41" t="n">
        <f aca="false">H11-G11-J11</f>
        <v>3599.35</v>
      </c>
      <c r="L11" s="42" t="n">
        <f aca="false">K11/H11</f>
        <v>0.35997099709971</v>
      </c>
      <c r="M11" s="35" t="n">
        <v>2.5</v>
      </c>
    </row>
    <row r="13" customFormat="false" ht="15" hidden="false" customHeight="false" outlineLevel="0" collapsed="false">
      <c r="A13" s="31" t="s">
        <v>98</v>
      </c>
    </row>
    <row r="14" customFormat="false" ht="15" hidden="false" customHeight="false" outlineLevel="0" collapsed="false">
      <c r="A14" s="31" t="s">
        <v>99</v>
      </c>
    </row>
    <row r="15" customFormat="false" ht="15" hidden="false" customHeight="false" outlineLevel="0" collapsed="false">
      <c r="A15" s="4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2026-06-29T05:02:06Z</dcterms:created>
  <dc:creator>openpyxl</dc:creator>
  <dc:description/>
  <dc:language>en-US</dc:language>
  <cp:lastModifiedBy/>
  <dcterms:modified xsi:type="dcterms:W3CDTF">2026-06-29T05:19:45Z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